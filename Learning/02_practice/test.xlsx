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790"/>
  </bookViews>
  <sheets>
    <sheet name="综合成绩排名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<sst xmlns="http://schemas.openxmlformats.org/spreadsheetml/2006/main" count="197" uniqueCount="106">
  <si>
    <t>合肥大学硕士研究生国家奖学金评审综合成绩排名表</t>
  </si>
  <si>
    <t>报送单位（盖章）</t>
  </si>
  <si>
    <t>学院领导签字：</t>
  </si>
  <si>
    <t>日期： 年  月  日</t>
  </si>
  <si>
    <t>序号</t>
  </si>
  <si>
    <t>学院</t>
  </si>
  <si>
    <t>姓名</t>
  </si>
  <si>
    <t>班级</t>
  </si>
  <si>
    <t>学号</t>
  </si>
  <si>
    <t>学业成绩
（30%）</t>
  </si>
  <si>
    <t>综合素质（15%）</t>
  </si>
  <si>
    <t>科研成果（35%/25%）</t>
  </si>
  <si>
    <t>创新实践（20%/30%）</t>
  </si>
  <si>
    <t>公开答辩分</t>
  </si>
  <si>
    <t>综合成绩</t>
  </si>
  <si>
    <t>排名</t>
  </si>
  <si>
    <t>思想品德、日常表现</t>
  </si>
  <si>
    <t>荣誉表彰</t>
  </si>
  <si>
    <t>学生干部</t>
  </si>
  <si>
    <t>科研奖励</t>
  </si>
  <si>
    <t>科研项目</t>
  </si>
  <si>
    <t>论文发表</t>
  </si>
  <si>
    <t>知识产权</t>
  </si>
  <si>
    <t>A类赛事</t>
  </si>
  <si>
    <t>B类赛事</t>
  </si>
  <si>
    <t>C类赛事</t>
  </si>
  <si>
    <t>社会实践</t>
  </si>
  <si>
    <t>人工智能与大数据学院</t>
  </si>
  <si>
    <t>汪军</t>
  </si>
  <si>
    <t>电子信息2班</t>
  </si>
  <si>
    <t>朱思雨</t>
  </si>
  <si>
    <t>24085404045</t>
  </si>
  <si>
    <t>汪超</t>
  </si>
  <si>
    <t>吴锦峰</t>
  </si>
  <si>
    <t>张瑞</t>
  </si>
  <si>
    <t>24085404036</t>
  </si>
  <si>
    <t>王茂森</t>
  </si>
  <si>
    <t>赵安琪</t>
  </si>
  <si>
    <t>24085404038</t>
  </si>
  <si>
    <t>许郝</t>
  </si>
  <si>
    <t>阮欣</t>
  </si>
  <si>
    <t>24085404003</t>
  </si>
  <si>
    <t>王苏</t>
  </si>
  <si>
    <t>周龙庆</t>
  </si>
  <si>
    <t>24085404042</t>
  </si>
  <si>
    <t>王志兴</t>
  </si>
  <si>
    <t>汪家康</t>
  </si>
  <si>
    <t>唐书正</t>
  </si>
  <si>
    <t>郑智方</t>
  </si>
  <si>
    <t>24085404040</t>
  </si>
  <si>
    <t>汪志泽</t>
  </si>
  <si>
    <t>许皖江</t>
  </si>
  <si>
    <t>杨慧敏</t>
  </si>
  <si>
    <t>24085404025</t>
  </si>
  <si>
    <t>王文利</t>
  </si>
  <si>
    <t>尹成信</t>
  </si>
  <si>
    <t>24085404028</t>
  </si>
  <si>
    <t>孙全龙</t>
  </si>
  <si>
    <t>朱雨荷</t>
  </si>
  <si>
    <t>24085404046</t>
  </si>
  <si>
    <t>朱宏</t>
  </si>
  <si>
    <t>24085404044</t>
  </si>
  <si>
    <t>徐敏</t>
  </si>
  <si>
    <t>王瑾泓</t>
  </si>
  <si>
    <t>严一峰</t>
  </si>
  <si>
    <t>杨益舳</t>
  </si>
  <si>
    <t>24085404027</t>
  </si>
  <si>
    <t>张芳芳</t>
  </si>
  <si>
    <t>24085404032</t>
  </si>
  <si>
    <t>张灵辉</t>
  </si>
  <si>
    <t>24085404034</t>
  </si>
  <si>
    <t>张金辉</t>
  </si>
  <si>
    <t>24085404033</t>
  </si>
  <si>
    <t>周基健</t>
  </si>
  <si>
    <t>24085404041</t>
  </si>
  <si>
    <t>俞杰</t>
  </si>
  <si>
    <t>24085404030</t>
  </si>
  <si>
    <t>赵源浩</t>
  </si>
  <si>
    <t>24085404039</t>
  </si>
  <si>
    <t>张庆</t>
  </si>
  <si>
    <t>24085404035</t>
  </si>
  <si>
    <t>彭浩</t>
  </si>
  <si>
    <t>24085404001</t>
  </si>
  <si>
    <t>詹明川</t>
  </si>
  <si>
    <t>24085404031</t>
  </si>
  <si>
    <t>伍帅</t>
  </si>
  <si>
    <t>张亚微</t>
  </si>
  <si>
    <t>24085404037</t>
  </si>
  <si>
    <t>周欧文</t>
  </si>
  <si>
    <t>24085404043</t>
  </si>
  <si>
    <t>沈再路</t>
  </si>
  <si>
    <t>24085404004</t>
  </si>
  <si>
    <t>苏文鑫</t>
  </si>
  <si>
    <t>24085404005</t>
  </si>
  <si>
    <t>童飞</t>
  </si>
  <si>
    <t>杨信</t>
  </si>
  <si>
    <t>24085404026</t>
  </si>
  <si>
    <t>秦宇凡</t>
  </si>
  <si>
    <t>24085404002</t>
  </si>
  <si>
    <t>挂科</t>
  </si>
  <si>
    <t>余卫鑫</t>
  </si>
  <si>
    <t>24085404029</t>
  </si>
  <si>
    <t>孙滕峰</t>
  </si>
  <si>
    <t>非全</t>
  </si>
  <si>
    <t>经办人：</t>
  </si>
  <si>
    <t>日期：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</si>
</sst>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</font>
    <font>
      <sz val="11"/>
      <color rgb="FFFF0000"/>
      <name val="宋体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10" applyNumberFormat="0" applyAlignment="0" applyProtection="0">
      <alignment vertical="center"/>
    </xf>
    <xf numFmtId="0" fontId="18" fillId="4" borderId="11" applyNumberFormat="0" applyAlignment="0" applyProtection="0">
      <alignment vertical="center"/>
    </xf>
    <xf numFmtId="0" fontId="19" fillId="4" borderId="10" applyNumberFormat="0" applyAlignment="0" applyProtection="0">
      <alignment vertical="center"/>
    </xf>
    <xf numFmtId="0" fontId="20" fillId="5" borderId="12" applyNumberFormat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1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3"/>
  <sheetViews>
    <sheetView tabSelected="1" zoomScale="70" zoomScaleNormal="70" workbookViewId="0">
      <selection activeCell="J2" sqref="J2"/>
    </sheetView>
  </sheetViews>
  <sheetFormatPr defaultColWidth="9" defaultRowHeight="14"/>
  <cols>
    <col min="1" max="1" width="10.8636363636364" customWidth="1"/>
    <col min="2" max="2" width="20" customWidth="1"/>
    <col min="3" max="3" width="13" customWidth="1"/>
    <col min="4" max="4" width="13.6" customWidth="1"/>
    <col min="5" max="5" width="14.2636363636364" customWidth="1"/>
    <col min="6" max="6" width="17" customWidth="1"/>
    <col min="7" max="7" width="20.4636363636364" customWidth="1"/>
    <col min="8" max="8" width="13.2636363636364" customWidth="1"/>
    <col min="9" max="9" width="11.6" customWidth="1"/>
    <col min="10" max="10" width="12.2636363636364" customWidth="1"/>
    <col min="11" max="11" width="13" customWidth="1"/>
    <col min="12" max="12" width="13.1363636363636" customWidth="1"/>
    <col min="13" max="13" width="12" customWidth="1"/>
    <col min="14" max="14" width="12.2636363636364" customWidth="1"/>
    <col min="15" max="15" width="11.4" customWidth="1"/>
    <col min="16" max="16" width="9" customWidth="1"/>
    <col min="17" max="17" width="11.2636363636364" customWidth="1"/>
    <col min="18" max="18" width="13.4" customWidth="1"/>
    <col min="19" max="19" width="14.4" customWidth="1"/>
    <col min="20" max="20" width="12.2636363636364" customWidth="1"/>
  </cols>
  <sheetData>
    <row r="1" ht="33" customHeight="1" spans="1:20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 ht="51" customHeight="1" spans="1:20">
      <c r="A2" s="9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24" t="s">
        <v>2</v>
      </c>
      <c r="O2" s="24"/>
      <c r="P2" s="24"/>
      <c r="Q2" s="10"/>
      <c r="R2" s="10"/>
      <c r="S2" s="10" t="s">
        <v>3</v>
      </c>
      <c r="T2" s="10"/>
    </row>
    <row r="3" s="5" customFormat="1" ht="30" customHeight="1" spans="1:20">
      <c r="A3" s="11" t="s">
        <v>4</v>
      </c>
      <c r="B3" s="11" t="s">
        <v>5</v>
      </c>
      <c r="C3" s="11" t="s">
        <v>6</v>
      </c>
      <c r="D3" s="11" t="s">
        <v>7</v>
      </c>
      <c r="E3" s="11" t="s">
        <v>8</v>
      </c>
      <c r="F3" s="12" t="s">
        <v>9</v>
      </c>
      <c r="G3" s="13" t="s">
        <v>10</v>
      </c>
      <c r="H3" s="14"/>
      <c r="I3" s="25"/>
      <c r="J3" s="14" t="s">
        <v>11</v>
      </c>
      <c r="K3" s="14"/>
      <c r="L3" s="14"/>
      <c r="M3" s="25"/>
      <c r="N3" s="13" t="s">
        <v>12</v>
      </c>
      <c r="O3" s="14"/>
      <c r="P3" s="14"/>
      <c r="Q3" s="25"/>
      <c r="R3" s="11" t="s">
        <v>13</v>
      </c>
      <c r="S3" s="11" t="s">
        <v>14</v>
      </c>
      <c r="T3" s="11" t="s">
        <v>15</v>
      </c>
    </row>
    <row r="4" s="6" customFormat="1" ht="30" customHeight="1" spans="1:20">
      <c r="A4" s="15"/>
      <c r="B4" s="15"/>
      <c r="C4" s="15"/>
      <c r="D4" s="15"/>
      <c r="E4" s="15"/>
      <c r="F4" s="15"/>
      <c r="G4" s="16" t="s">
        <v>16</v>
      </c>
      <c r="H4" s="16" t="s">
        <v>17</v>
      </c>
      <c r="I4" s="16" t="s">
        <v>18</v>
      </c>
      <c r="J4" s="16" t="s">
        <v>19</v>
      </c>
      <c r="K4" s="16" t="s">
        <v>20</v>
      </c>
      <c r="L4" s="16" t="s">
        <v>21</v>
      </c>
      <c r="M4" s="16" t="s">
        <v>22</v>
      </c>
      <c r="N4" s="16" t="s">
        <v>23</v>
      </c>
      <c r="O4" s="16" t="s">
        <v>24</v>
      </c>
      <c r="P4" s="16" t="s">
        <v>25</v>
      </c>
      <c r="Q4" s="16" t="s">
        <v>26</v>
      </c>
      <c r="R4" s="15"/>
      <c r="S4" s="15"/>
      <c r="T4" s="15"/>
    </row>
    <row r="5" ht="30" customHeight="1" spans="1:20">
      <c r="A5" s="1">
        <v>1</v>
      </c>
      <c r="B5" s="1" t="s">
        <v>27</v>
      </c>
      <c r="C5" s="17" t="s">
        <v>28</v>
      </c>
      <c r="D5" s="1" t="s">
        <v>29</v>
      </c>
      <c r="E5" s="17">
        <v>24085404012</v>
      </c>
      <c r="F5" s="1">
        <v>87.0625</v>
      </c>
      <c r="G5" s="1">
        <v>60</v>
      </c>
      <c r="H5" s="18">
        <v>0</v>
      </c>
      <c r="I5" s="1">
        <v>10</v>
      </c>
      <c r="J5" s="18">
        <v>0</v>
      </c>
      <c r="K5" s="18">
        <v>0</v>
      </c>
      <c r="L5" s="18">
        <v>0</v>
      </c>
      <c r="M5" s="18">
        <v>5</v>
      </c>
      <c r="N5" s="18">
        <v>30</v>
      </c>
      <c r="O5" s="18">
        <v>0</v>
      </c>
      <c r="P5" s="18">
        <v>0</v>
      </c>
      <c r="Q5" s="18">
        <v>0.25</v>
      </c>
      <c r="R5" s="18"/>
      <c r="S5" s="18">
        <f>F5*0.3+(G5+H5+I5)*0.15+(J5+K5+L5+M5)*0.25+(N5+O5+P5+Q5)*0.3</f>
        <v>46.94375</v>
      </c>
      <c r="T5" s="18">
        <v>1</v>
      </c>
    </row>
    <row r="6" s="7" customFormat="1" ht="30" customHeight="1" spans="1:20">
      <c r="A6" s="1">
        <v>2</v>
      </c>
      <c r="B6" s="1" t="s">
        <v>27</v>
      </c>
      <c r="C6" s="19" t="s">
        <v>30</v>
      </c>
      <c r="D6" s="1" t="s">
        <v>29</v>
      </c>
      <c r="E6" s="19" t="s">
        <v>31</v>
      </c>
      <c r="F6" s="1">
        <v>84.1375</v>
      </c>
      <c r="G6" s="1">
        <v>60</v>
      </c>
      <c r="H6" s="18">
        <v>0</v>
      </c>
      <c r="I6" s="1">
        <v>5</v>
      </c>
      <c r="J6" s="18">
        <v>0</v>
      </c>
      <c r="K6" s="18">
        <v>0</v>
      </c>
      <c r="L6" s="18">
        <v>0</v>
      </c>
      <c r="M6" s="18">
        <v>0</v>
      </c>
      <c r="N6" s="18">
        <v>30</v>
      </c>
      <c r="O6" s="18">
        <v>0</v>
      </c>
      <c r="P6" s="18">
        <v>0</v>
      </c>
      <c r="Q6" s="18">
        <v>0.25</v>
      </c>
      <c r="R6" s="18"/>
      <c r="S6" s="18">
        <f>F6*0.3+(G6+H6+I6)*0.15+(J6+K6+L6+M6)*0.25+(N6+O6+P6+Q6)*0.3</f>
        <v>44.06625</v>
      </c>
      <c r="T6" s="18">
        <v>2</v>
      </c>
    </row>
    <row r="7" ht="30" customHeight="1" spans="1:20">
      <c r="A7" s="1">
        <v>3</v>
      </c>
      <c r="B7" s="1" t="s">
        <v>27</v>
      </c>
      <c r="C7" s="17" t="s">
        <v>32</v>
      </c>
      <c r="D7" s="1" t="s">
        <v>29</v>
      </c>
      <c r="E7" s="17">
        <v>24085404010</v>
      </c>
      <c r="F7" s="1">
        <v>85.1625</v>
      </c>
      <c r="G7" s="1">
        <v>60</v>
      </c>
      <c r="H7" s="18">
        <v>0</v>
      </c>
      <c r="I7" s="1">
        <v>0</v>
      </c>
      <c r="J7" s="18">
        <v>0</v>
      </c>
      <c r="K7" s="18">
        <v>0</v>
      </c>
      <c r="L7" s="18">
        <v>0</v>
      </c>
      <c r="M7" s="18">
        <v>0</v>
      </c>
      <c r="N7" s="18">
        <v>10</v>
      </c>
      <c r="O7" s="18">
        <v>18</v>
      </c>
      <c r="P7" s="18">
        <v>0</v>
      </c>
      <c r="Q7" s="18">
        <v>0</v>
      </c>
      <c r="R7" s="18"/>
      <c r="S7" s="18">
        <f>F7*0.3+(G7+H7+I7)*0.15+(J7+K7+L7+M7)*0.25+(N7+O7+P7+Q7)*0.3</f>
        <v>42.94875</v>
      </c>
      <c r="T7" s="18">
        <v>3</v>
      </c>
    </row>
    <row r="8" ht="30" customHeight="1" spans="1:20">
      <c r="A8" s="1">
        <v>4</v>
      </c>
      <c r="B8" s="1" t="s">
        <v>27</v>
      </c>
      <c r="C8" s="20" t="s">
        <v>33</v>
      </c>
      <c r="D8" s="1" t="s">
        <v>29</v>
      </c>
      <c r="E8" s="17">
        <v>24085404019</v>
      </c>
      <c r="F8" s="1">
        <v>81.75</v>
      </c>
      <c r="G8" s="1">
        <v>60</v>
      </c>
      <c r="H8" s="18">
        <v>0</v>
      </c>
      <c r="I8" s="1">
        <v>0</v>
      </c>
      <c r="J8" s="18">
        <v>0</v>
      </c>
      <c r="K8" s="18">
        <v>0</v>
      </c>
      <c r="L8" s="18">
        <v>0</v>
      </c>
      <c r="M8" s="18">
        <v>35</v>
      </c>
      <c r="N8" s="18">
        <v>0</v>
      </c>
      <c r="O8" s="18">
        <v>0</v>
      </c>
      <c r="P8" s="18">
        <v>0</v>
      </c>
      <c r="Q8" s="18">
        <v>0.25</v>
      </c>
      <c r="R8" s="18"/>
      <c r="S8" s="18">
        <f>F8*0.3+(G8+H8+I8)*0.15+(J8+K8+L8+M8)*0.25+(N8+O8+P8+Q8)*0.3</f>
        <v>42.35</v>
      </c>
      <c r="T8" s="18">
        <v>4</v>
      </c>
    </row>
    <row r="9" ht="30" customHeight="1" spans="1:20">
      <c r="A9" s="1">
        <v>5</v>
      </c>
      <c r="B9" s="1" t="s">
        <v>27</v>
      </c>
      <c r="C9" s="19" t="s">
        <v>34</v>
      </c>
      <c r="D9" s="1" t="s">
        <v>29</v>
      </c>
      <c r="E9" s="19" t="s">
        <v>35</v>
      </c>
      <c r="F9" s="1">
        <v>88.7625</v>
      </c>
      <c r="G9" s="1">
        <v>60</v>
      </c>
      <c r="H9" s="18">
        <v>0</v>
      </c>
      <c r="I9" s="1">
        <v>0</v>
      </c>
      <c r="J9" s="18">
        <v>0</v>
      </c>
      <c r="K9" s="18">
        <v>4.5</v>
      </c>
      <c r="L9" s="18">
        <v>0</v>
      </c>
      <c r="M9" s="18">
        <v>0</v>
      </c>
      <c r="N9" s="18">
        <v>10</v>
      </c>
      <c r="O9" s="18">
        <v>0</v>
      </c>
      <c r="P9" s="18">
        <v>0</v>
      </c>
      <c r="Q9" s="18">
        <v>2</v>
      </c>
      <c r="R9" s="18"/>
      <c r="S9" s="18">
        <f>F9*0.3+(G9+H9+I9)*0.15+(J9+K9+L9+M9)*0.25+(N9+O9+P9+Q9)*0.3</f>
        <v>40.35375</v>
      </c>
      <c r="T9" s="18">
        <v>5</v>
      </c>
    </row>
    <row r="10" ht="30" customHeight="1" spans="1:20">
      <c r="A10" s="1">
        <v>6</v>
      </c>
      <c r="B10" s="1" t="s">
        <v>27</v>
      </c>
      <c r="C10" s="17" t="s">
        <v>36</v>
      </c>
      <c r="D10" s="1" t="s">
        <v>29</v>
      </c>
      <c r="E10" s="17">
        <v>24085404015</v>
      </c>
      <c r="F10" s="1">
        <v>86.439</v>
      </c>
      <c r="G10" s="1">
        <v>60</v>
      </c>
      <c r="H10" s="18">
        <v>0</v>
      </c>
      <c r="I10" s="1">
        <v>0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18</v>
      </c>
      <c r="P10" s="18">
        <v>0</v>
      </c>
      <c r="Q10" s="18">
        <v>0</v>
      </c>
      <c r="R10" s="18"/>
      <c r="S10" s="18">
        <f>F10*0.3+(G10+H10+I10)*0.15+(J10+K10+L10+M10)*0.25+(N10+O10+P10+Q10)*0.3</f>
        <v>40.3317</v>
      </c>
      <c r="T10" s="18">
        <v>6</v>
      </c>
    </row>
    <row r="11" ht="30" customHeight="1" spans="1:20">
      <c r="A11" s="1">
        <v>7</v>
      </c>
      <c r="B11" s="1" t="s">
        <v>27</v>
      </c>
      <c r="C11" s="19" t="s">
        <v>37</v>
      </c>
      <c r="D11" s="1" t="s">
        <v>29</v>
      </c>
      <c r="E11" s="19" t="s">
        <v>38</v>
      </c>
      <c r="F11" s="1">
        <v>89.7875</v>
      </c>
      <c r="G11" s="1">
        <v>60</v>
      </c>
      <c r="H11" s="18">
        <v>0</v>
      </c>
      <c r="I11" s="1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13.5</v>
      </c>
      <c r="P11" s="18">
        <v>0</v>
      </c>
      <c r="Q11" s="18">
        <v>0.25</v>
      </c>
      <c r="R11" s="18"/>
      <c r="S11" s="18">
        <f>F11*0.3+(G11+H11+I11)*0.15+(J11+K11+L11+M11)*0.25+(N11+O11+P11+Q11)*0.3</f>
        <v>40.06125</v>
      </c>
      <c r="T11" s="18">
        <v>7</v>
      </c>
    </row>
    <row r="12" ht="30" customHeight="1" spans="1:20">
      <c r="A12" s="1">
        <v>8</v>
      </c>
      <c r="B12" s="1" t="s">
        <v>27</v>
      </c>
      <c r="C12" s="17" t="s">
        <v>39</v>
      </c>
      <c r="D12" s="1" t="s">
        <v>29</v>
      </c>
      <c r="E12" s="17">
        <v>24085404022</v>
      </c>
      <c r="F12" s="1">
        <v>89.9625</v>
      </c>
      <c r="G12" s="1">
        <v>60</v>
      </c>
      <c r="H12" s="18">
        <v>0</v>
      </c>
      <c r="I12" s="1">
        <v>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1</v>
      </c>
      <c r="Q12" s="18">
        <v>8.6</v>
      </c>
      <c r="R12" s="18"/>
      <c r="S12" s="18">
        <f>F12*0.3+(G12+H12+I12)*0.15+(J12+K12+L12+M12)*0.25+(N12+O12+P12+Q12)*0.3</f>
        <v>38.86875</v>
      </c>
      <c r="T12" s="18">
        <v>8</v>
      </c>
    </row>
    <row r="13" ht="30" customHeight="1" spans="1:20">
      <c r="A13" s="1">
        <v>9</v>
      </c>
      <c r="B13" s="1" t="s">
        <v>27</v>
      </c>
      <c r="C13" s="19" t="s">
        <v>40</v>
      </c>
      <c r="D13" s="1" t="s">
        <v>29</v>
      </c>
      <c r="E13" s="19" t="s">
        <v>41</v>
      </c>
      <c r="F13" s="1">
        <v>88.3625</v>
      </c>
      <c r="G13" s="1">
        <v>60</v>
      </c>
      <c r="H13" s="18">
        <v>0</v>
      </c>
      <c r="I13" s="1">
        <v>5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0.45</v>
      </c>
      <c r="Q13" s="18">
        <v>8</v>
      </c>
      <c r="R13" s="18"/>
      <c r="S13" s="18">
        <f>F13*0.3+(G13+H13+I13)*0.15+(J13+K13+L13+M13)*0.25+(N13+O13+P13+Q13)*0.3</f>
        <v>38.79375</v>
      </c>
      <c r="T13" s="18">
        <v>9</v>
      </c>
    </row>
    <row r="14" ht="30" customHeight="1" spans="1:20">
      <c r="A14" s="1">
        <v>10</v>
      </c>
      <c r="B14" s="1" t="s">
        <v>27</v>
      </c>
      <c r="C14" s="17" t="s">
        <v>42</v>
      </c>
      <c r="D14" s="1" t="s">
        <v>29</v>
      </c>
      <c r="E14" s="17">
        <v>24085404016</v>
      </c>
      <c r="F14" s="1">
        <v>92.2875</v>
      </c>
      <c r="G14" s="1">
        <v>60</v>
      </c>
      <c r="H14" s="18">
        <v>0</v>
      </c>
      <c r="I14" s="1">
        <v>5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4.25</v>
      </c>
      <c r="R14" s="18"/>
      <c r="S14" s="18">
        <f>F14*0.3+(G14+H14+I14)*0.15+(J14+K14+L14+M14)*0.25+(N14+O14+P14+Q14)*0.3</f>
        <v>38.71125</v>
      </c>
      <c r="T14" s="18">
        <v>10</v>
      </c>
    </row>
    <row r="15" ht="30" customHeight="1" spans="1:20">
      <c r="A15" s="1">
        <v>11</v>
      </c>
      <c r="B15" s="1" t="s">
        <v>27</v>
      </c>
      <c r="C15" s="19" t="s">
        <v>43</v>
      </c>
      <c r="D15" s="1" t="s">
        <v>29</v>
      </c>
      <c r="E15" s="19" t="s">
        <v>44</v>
      </c>
      <c r="F15" s="1">
        <v>79.8</v>
      </c>
      <c r="G15" s="1">
        <v>60</v>
      </c>
      <c r="H15" s="18">
        <v>0</v>
      </c>
      <c r="I15" s="1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18</v>
      </c>
      <c r="P15" s="18">
        <v>0</v>
      </c>
      <c r="Q15" s="18">
        <v>0</v>
      </c>
      <c r="R15" s="18"/>
      <c r="S15" s="18">
        <f>F15*0.3+(G15+H15+I15)*0.15+(J15+K15+L15+M15)*0.25+(N15+O15+P15+Q15)*0.3</f>
        <v>38.34</v>
      </c>
      <c r="T15" s="18">
        <v>11</v>
      </c>
    </row>
    <row r="16" ht="30" customHeight="1" spans="1:20">
      <c r="A16" s="1">
        <v>12</v>
      </c>
      <c r="B16" s="1" t="s">
        <v>27</v>
      </c>
      <c r="C16" s="17" t="s">
        <v>45</v>
      </c>
      <c r="D16" s="1" t="s">
        <v>29</v>
      </c>
      <c r="E16" s="17">
        <v>24085404018</v>
      </c>
      <c r="F16" s="1">
        <v>85.5125</v>
      </c>
      <c r="G16" s="1">
        <v>60</v>
      </c>
      <c r="H16" s="18">
        <v>0</v>
      </c>
      <c r="I16" s="1">
        <v>10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0.8</v>
      </c>
      <c r="Q16" s="18">
        <v>6.25</v>
      </c>
      <c r="R16" s="18"/>
      <c r="S16" s="18">
        <f>F16*0.3+(G16+H16+I16)*0.15+(J16+K16+L16+M16)*0.25+(N16+O16+P16+Q16)*0.3</f>
        <v>38.26875</v>
      </c>
      <c r="T16" s="18">
        <v>12</v>
      </c>
    </row>
    <row r="17" ht="30" customHeight="1" spans="1:20">
      <c r="A17" s="1">
        <v>13</v>
      </c>
      <c r="B17" s="1" t="s">
        <v>27</v>
      </c>
      <c r="C17" s="17" t="s">
        <v>46</v>
      </c>
      <c r="D17" s="1" t="s">
        <v>29</v>
      </c>
      <c r="E17" s="17">
        <v>24085404011</v>
      </c>
      <c r="F17" s="1">
        <v>88.129</v>
      </c>
      <c r="G17" s="1">
        <v>60</v>
      </c>
      <c r="H17" s="18">
        <v>0</v>
      </c>
      <c r="I17" s="1">
        <v>5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6</v>
      </c>
      <c r="Q17" s="18">
        <v>0.25</v>
      </c>
      <c r="R17" s="18"/>
      <c r="S17" s="18">
        <f>F17*0.3+(G17+H17+I17)*0.15+(J17+K17+L17+M17)*0.25+(N17+O17+P17+Q17)*0.3</f>
        <v>38.0637</v>
      </c>
      <c r="T17" s="18">
        <v>13</v>
      </c>
    </row>
    <row r="18" ht="30" customHeight="1" spans="1:20">
      <c r="A18" s="1">
        <v>14</v>
      </c>
      <c r="B18" s="1" t="s">
        <v>27</v>
      </c>
      <c r="C18" s="20" t="s">
        <v>47</v>
      </c>
      <c r="D18" s="1" t="s">
        <v>29</v>
      </c>
      <c r="E18" s="17">
        <v>24085404008</v>
      </c>
      <c r="F18" s="1">
        <v>81.629</v>
      </c>
      <c r="G18" s="1">
        <v>60</v>
      </c>
      <c r="H18" s="18">
        <v>0</v>
      </c>
      <c r="I18" s="1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5</v>
      </c>
      <c r="Q18" s="18">
        <v>8.25</v>
      </c>
      <c r="R18" s="18"/>
      <c r="S18" s="18">
        <f>F18*0.3+(G18+H18+I18)*0.15+(J18+K18+L18+M18)*0.25+(N18+O18+P18+Q18)*0.3</f>
        <v>37.4637</v>
      </c>
      <c r="T18" s="18">
        <v>14</v>
      </c>
    </row>
    <row r="19" ht="30" customHeight="1" spans="1:20">
      <c r="A19" s="1">
        <v>15</v>
      </c>
      <c r="B19" s="1" t="s">
        <v>27</v>
      </c>
      <c r="C19" s="19" t="s">
        <v>48</v>
      </c>
      <c r="D19" s="1" t="s">
        <v>29</v>
      </c>
      <c r="E19" s="19" t="s">
        <v>49</v>
      </c>
      <c r="F19" s="1">
        <v>81.3375</v>
      </c>
      <c r="G19" s="1">
        <v>60</v>
      </c>
      <c r="H19" s="18">
        <v>0</v>
      </c>
      <c r="I19" s="1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5</v>
      </c>
      <c r="Q19" s="18">
        <v>8</v>
      </c>
      <c r="R19" s="18"/>
      <c r="S19" s="18">
        <f>F19*0.3+(G19+H19+I19)*0.15+(J19+K19+L19+M19)*0.25+(N19+O19+P19+Q19)*0.3</f>
        <v>37.30125</v>
      </c>
      <c r="T19" s="18">
        <v>15</v>
      </c>
    </row>
    <row r="20" ht="31" customHeight="1" spans="1:20">
      <c r="A20" s="1">
        <v>16</v>
      </c>
      <c r="B20" s="1" t="s">
        <v>27</v>
      </c>
      <c r="C20" s="17" t="s">
        <v>50</v>
      </c>
      <c r="D20" s="1" t="s">
        <v>29</v>
      </c>
      <c r="E20" s="17">
        <v>24085404013</v>
      </c>
      <c r="F20" s="1">
        <v>84.9625</v>
      </c>
      <c r="G20" s="1">
        <v>60</v>
      </c>
      <c r="H20" s="18">
        <v>0</v>
      </c>
      <c r="I20" s="1">
        <v>5</v>
      </c>
      <c r="J20" s="18">
        <v>0</v>
      </c>
      <c r="K20" s="18">
        <v>6.75</v>
      </c>
      <c r="L20" s="18">
        <v>0</v>
      </c>
      <c r="M20" s="18">
        <v>0</v>
      </c>
      <c r="N20" s="18">
        <v>0</v>
      </c>
      <c r="O20" s="18">
        <v>0</v>
      </c>
      <c r="P20" s="18">
        <v>0.5</v>
      </c>
      <c r="Q20" s="18">
        <v>0</v>
      </c>
      <c r="R20" s="18"/>
      <c r="S20" s="18">
        <f>F20*0.3+(G20+H20+I20)*0.15+(J20+K20+L20+M20)*0.25+(N20+O20+P20+Q20)*0.3</f>
        <v>37.07625</v>
      </c>
      <c r="T20" s="18">
        <v>16</v>
      </c>
    </row>
    <row r="21" ht="30" customHeight="1" spans="1:20">
      <c r="A21" s="1">
        <v>17</v>
      </c>
      <c r="B21" s="1" t="s">
        <v>27</v>
      </c>
      <c r="C21" s="17" t="s">
        <v>51</v>
      </c>
      <c r="D21" s="1" t="s">
        <v>29</v>
      </c>
      <c r="E21" s="17">
        <v>24085404023</v>
      </c>
      <c r="F21" s="1">
        <v>88.675</v>
      </c>
      <c r="G21" s="1">
        <v>60</v>
      </c>
      <c r="H21" s="18">
        <v>0</v>
      </c>
      <c r="I21" s="1">
        <v>0</v>
      </c>
      <c r="J21" s="18">
        <v>0</v>
      </c>
      <c r="K21" s="18">
        <v>5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0.25</v>
      </c>
      <c r="R21" s="18"/>
      <c r="S21" s="18">
        <f>F21*0.3+(G21+H21+I21)*0.15+(J21+K21+L21+M21)*0.25+(N21+O21+P21+Q21)*0.3</f>
        <v>36.9275</v>
      </c>
      <c r="T21" s="18">
        <v>17</v>
      </c>
    </row>
    <row r="22" ht="30" customHeight="1" spans="1:20">
      <c r="A22" s="1">
        <v>18</v>
      </c>
      <c r="B22" s="1" t="s">
        <v>27</v>
      </c>
      <c r="C22" s="19" t="s">
        <v>52</v>
      </c>
      <c r="D22" s="1" t="s">
        <v>29</v>
      </c>
      <c r="E22" s="19" t="s">
        <v>53</v>
      </c>
      <c r="F22" s="1">
        <v>90.025</v>
      </c>
      <c r="G22" s="1">
        <v>60</v>
      </c>
      <c r="H22" s="18">
        <v>0</v>
      </c>
      <c r="I22" s="1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2.25</v>
      </c>
      <c r="R22" s="18"/>
      <c r="S22" s="18">
        <f>F22*0.3+(G22+H22+I22)*0.15+(J22+K22+L22+M22)*0.25+(N22+O22+P22+Q22)*0.3</f>
        <v>36.6825</v>
      </c>
      <c r="T22" s="18">
        <v>18</v>
      </c>
    </row>
    <row r="23" ht="30" customHeight="1" spans="1:20">
      <c r="A23" s="1">
        <v>19</v>
      </c>
      <c r="B23" s="1" t="s">
        <v>27</v>
      </c>
      <c r="C23" s="17" t="s">
        <v>54</v>
      </c>
      <c r="D23" s="1" t="s">
        <v>29</v>
      </c>
      <c r="E23" s="17">
        <v>24085404017</v>
      </c>
      <c r="F23" s="1">
        <v>90.4375</v>
      </c>
      <c r="G23" s="1">
        <v>60</v>
      </c>
      <c r="H23" s="18">
        <v>0</v>
      </c>
      <c r="I23" s="1">
        <v>0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  <c r="P23" s="18">
        <v>0.8</v>
      </c>
      <c r="Q23" s="18">
        <v>0</v>
      </c>
      <c r="R23" s="18"/>
      <c r="S23" s="18">
        <f>F23*0.3+(G23+H23+I23)*0.15+(J23+K23+L23+M23)*0.25+(N23+O23+P23+Q23)*0.3</f>
        <v>36.37125</v>
      </c>
      <c r="T23" s="18">
        <v>19</v>
      </c>
    </row>
    <row r="24" ht="30" customHeight="1" spans="1:20">
      <c r="A24" s="1">
        <v>20</v>
      </c>
      <c r="B24" s="1" t="s">
        <v>27</v>
      </c>
      <c r="C24" s="19" t="s">
        <v>55</v>
      </c>
      <c r="D24" s="1" t="s">
        <v>29</v>
      </c>
      <c r="E24" s="19" t="s">
        <v>56</v>
      </c>
      <c r="F24" s="1">
        <v>89.1125</v>
      </c>
      <c r="G24" s="1">
        <v>60</v>
      </c>
      <c r="H24" s="18">
        <v>0</v>
      </c>
      <c r="I24" s="1">
        <v>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0.45</v>
      </c>
      <c r="Q24" s="18">
        <v>0.25</v>
      </c>
      <c r="R24" s="18"/>
      <c r="S24" s="18">
        <f>F24*0.3+(G24+H24+I24)*0.15+(J24+K24+L24+M24)*0.25+(N24+O24+P24+Q24)*0.3</f>
        <v>35.94375</v>
      </c>
      <c r="T24" s="18">
        <v>20</v>
      </c>
    </row>
    <row r="25" ht="30" customHeight="1" spans="1:20">
      <c r="A25" s="1">
        <v>21</v>
      </c>
      <c r="B25" s="1" t="s">
        <v>27</v>
      </c>
      <c r="C25" s="19" t="s">
        <v>57</v>
      </c>
      <c r="D25" s="1" t="s">
        <v>29</v>
      </c>
      <c r="E25" s="19">
        <v>24085404006</v>
      </c>
      <c r="F25" s="1">
        <v>81.85</v>
      </c>
      <c r="G25" s="1">
        <v>60</v>
      </c>
      <c r="H25" s="18">
        <v>0</v>
      </c>
      <c r="I25" s="1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1.5</v>
      </c>
      <c r="Q25" s="18">
        <v>6.25</v>
      </c>
      <c r="R25" s="18"/>
      <c r="S25" s="18">
        <f>F25*0.3+(G25+H25+I25)*0.15+(J25+K25+L25+M25)*0.25+(N25+O25+P25+Q25)*0.3</f>
        <v>35.88</v>
      </c>
      <c r="T25" s="18">
        <v>21</v>
      </c>
    </row>
    <row r="26" ht="30" customHeight="1" spans="1:20">
      <c r="A26" s="1">
        <v>22</v>
      </c>
      <c r="B26" s="1" t="s">
        <v>27</v>
      </c>
      <c r="C26" s="19" t="s">
        <v>58</v>
      </c>
      <c r="D26" s="1" t="s">
        <v>29</v>
      </c>
      <c r="E26" s="19" t="s">
        <v>59</v>
      </c>
      <c r="F26" s="1">
        <v>86.15416</v>
      </c>
      <c r="G26" s="1">
        <v>60</v>
      </c>
      <c r="H26" s="18">
        <v>0</v>
      </c>
      <c r="I26" s="1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3</v>
      </c>
      <c r="Q26" s="18">
        <v>0.25</v>
      </c>
      <c r="R26" s="18"/>
      <c r="S26" s="18">
        <f>F26*0.3+(G26+H26+I26)*0.15+(J26+K26+L26+M26)*0.25+(N26+O26+P26+Q26)*0.3</f>
        <v>35.821248</v>
      </c>
      <c r="T26" s="18">
        <v>22</v>
      </c>
    </row>
    <row r="27" ht="30" customHeight="1" spans="1:20">
      <c r="A27" s="1">
        <v>23</v>
      </c>
      <c r="B27" s="1" t="s">
        <v>27</v>
      </c>
      <c r="C27" s="19" t="s">
        <v>60</v>
      </c>
      <c r="D27" s="1" t="s">
        <v>29</v>
      </c>
      <c r="E27" s="19" t="s">
        <v>61</v>
      </c>
      <c r="F27" s="1">
        <v>84.075</v>
      </c>
      <c r="G27" s="1">
        <v>60</v>
      </c>
      <c r="H27" s="18">
        <v>0</v>
      </c>
      <c r="I27" s="1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4</v>
      </c>
      <c r="R27" s="18"/>
      <c r="S27" s="18">
        <f>F27*0.3+(G27+H27+I27)*0.15+(J27+K27+L27+M27)*0.25+(N27+O27+P27+Q27)*0.3</f>
        <v>35.4225</v>
      </c>
      <c r="T27" s="18">
        <v>23</v>
      </c>
    </row>
    <row r="28" ht="30" customHeight="1" spans="1:20">
      <c r="A28" s="1">
        <v>24</v>
      </c>
      <c r="B28" s="1" t="s">
        <v>27</v>
      </c>
      <c r="C28" s="17" t="s">
        <v>62</v>
      </c>
      <c r="D28" s="1" t="s">
        <v>29</v>
      </c>
      <c r="E28" s="17">
        <v>24085404021</v>
      </c>
      <c r="F28" s="1">
        <v>87.1178</v>
      </c>
      <c r="G28" s="1">
        <v>60</v>
      </c>
      <c r="H28" s="18">
        <v>0</v>
      </c>
      <c r="I28" s="1">
        <v>0</v>
      </c>
      <c r="J28" s="18">
        <v>0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0.25</v>
      </c>
      <c r="R28" s="18"/>
      <c r="S28" s="18">
        <f>F28*0.3+(G28+H28+I28)*0.15+(J28+K28+L28+M28)*0.25+(N28+O28+P28+Q28)*0.3</f>
        <v>35.21034</v>
      </c>
      <c r="T28" s="18">
        <v>24</v>
      </c>
    </row>
    <row r="29" ht="30" customHeight="1" spans="1:20">
      <c r="A29" s="1">
        <v>25</v>
      </c>
      <c r="B29" s="1" t="s">
        <v>27</v>
      </c>
      <c r="C29" s="17" t="s">
        <v>63</v>
      </c>
      <c r="D29" s="1" t="s">
        <v>29</v>
      </c>
      <c r="E29" s="20">
        <v>24085404014</v>
      </c>
      <c r="F29" s="1">
        <v>85.6625</v>
      </c>
      <c r="G29" s="1">
        <v>60</v>
      </c>
      <c r="H29" s="18">
        <v>0</v>
      </c>
      <c r="I29" s="1">
        <v>0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8">
        <v>1.5</v>
      </c>
      <c r="Q29" s="18">
        <v>0</v>
      </c>
      <c r="R29" s="18"/>
      <c r="S29" s="18">
        <f>F29*0.3+(G29+H29+I29)*0.15+(J29+K29+L29+M29)*0.25+(N29+O29+P29+Q29)*0.3</f>
        <v>35.14875</v>
      </c>
      <c r="T29" s="18">
        <v>25</v>
      </c>
    </row>
    <row r="30" ht="30" customHeight="1" spans="1:20">
      <c r="A30" s="1">
        <v>26</v>
      </c>
      <c r="B30" s="1" t="s">
        <v>27</v>
      </c>
      <c r="C30" s="17" t="s">
        <v>64</v>
      </c>
      <c r="D30" s="1" t="s">
        <v>29</v>
      </c>
      <c r="E30" s="17">
        <v>24085404024</v>
      </c>
      <c r="F30" s="1">
        <v>86.675</v>
      </c>
      <c r="G30" s="1">
        <v>60</v>
      </c>
      <c r="H30" s="18">
        <v>0</v>
      </c>
      <c r="I30" s="1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0.25</v>
      </c>
      <c r="R30" s="18"/>
      <c r="S30" s="18">
        <f>F30*0.3+(G30+H30+I30)*0.15+(J30+K30+L30+M30)*0.25+(N30+O30+P30+Q30)*0.3</f>
        <v>35.0775</v>
      </c>
      <c r="T30" s="18">
        <v>26</v>
      </c>
    </row>
    <row r="31" ht="30" customHeight="1" spans="1:20">
      <c r="A31" s="1">
        <v>27</v>
      </c>
      <c r="B31" s="1" t="s">
        <v>27</v>
      </c>
      <c r="C31" s="19" t="s">
        <v>65</v>
      </c>
      <c r="D31" s="1" t="s">
        <v>29</v>
      </c>
      <c r="E31" s="19" t="s">
        <v>66</v>
      </c>
      <c r="F31" s="1">
        <v>85.875</v>
      </c>
      <c r="G31" s="1">
        <v>60</v>
      </c>
      <c r="H31" s="18">
        <v>0</v>
      </c>
      <c r="I31" s="1">
        <v>0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8">
        <v>1</v>
      </c>
      <c r="R31" s="18"/>
      <c r="S31" s="18">
        <f>F31*0.3+(G31+H31+I31)*0.15+(J31+K31+L31+M31)*0.25+(N31+O31+P31+Q31)*0.3</f>
        <v>35.0625</v>
      </c>
      <c r="T31" s="18">
        <v>27</v>
      </c>
    </row>
    <row r="32" ht="30" customHeight="1" spans="1:20">
      <c r="A32" s="1">
        <v>28</v>
      </c>
      <c r="B32" s="1" t="s">
        <v>27</v>
      </c>
      <c r="C32" s="19" t="s">
        <v>67</v>
      </c>
      <c r="D32" s="1" t="s">
        <v>29</v>
      </c>
      <c r="E32" s="19" t="s">
        <v>68</v>
      </c>
      <c r="F32" s="1">
        <v>86.6875</v>
      </c>
      <c r="G32" s="1">
        <v>60</v>
      </c>
      <c r="H32" s="18">
        <v>0</v>
      </c>
      <c r="I32" s="1">
        <v>0</v>
      </c>
      <c r="J32" s="18">
        <v>0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/>
      <c r="S32" s="18">
        <f>F32*0.3+(G32+H32+I32)*0.15+(J32+K32+L32+M32)*0.25+(N32+O32+P32+Q32)*0.3</f>
        <v>35.00625</v>
      </c>
      <c r="T32" s="18">
        <v>28</v>
      </c>
    </row>
    <row r="33" s="7" customFormat="1" ht="30" customHeight="1" spans="1:20">
      <c r="A33" s="1">
        <v>29</v>
      </c>
      <c r="B33" s="1" t="s">
        <v>27</v>
      </c>
      <c r="C33" s="19" t="s">
        <v>69</v>
      </c>
      <c r="D33" s="1" t="s">
        <v>29</v>
      </c>
      <c r="E33" s="19" t="s">
        <v>70</v>
      </c>
      <c r="F33" s="1">
        <v>81.5375</v>
      </c>
      <c r="G33" s="1">
        <v>60</v>
      </c>
      <c r="H33" s="18">
        <v>0</v>
      </c>
      <c r="I33" s="1">
        <v>0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5</v>
      </c>
      <c r="P33" s="18">
        <v>0</v>
      </c>
      <c r="Q33" s="18">
        <v>0</v>
      </c>
      <c r="R33" s="18"/>
      <c r="S33" s="18">
        <f>F33*0.3+(G33+H33+I33)*0.15+(J33+K33+L33+M33)*0.25+(N33+O33+P33+Q33)*0.3</f>
        <v>34.96125</v>
      </c>
      <c r="T33" s="18">
        <v>29</v>
      </c>
    </row>
    <row r="34" ht="30" customHeight="1" spans="1:20">
      <c r="A34" s="1">
        <v>30</v>
      </c>
      <c r="B34" s="1" t="s">
        <v>27</v>
      </c>
      <c r="C34" s="19" t="s">
        <v>71</v>
      </c>
      <c r="D34" s="1" t="s">
        <v>29</v>
      </c>
      <c r="E34" s="19" t="s">
        <v>72</v>
      </c>
      <c r="F34" s="1">
        <v>86.025</v>
      </c>
      <c r="G34" s="1">
        <v>60</v>
      </c>
      <c r="H34" s="18">
        <v>0</v>
      </c>
      <c r="I34" s="1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/>
      <c r="S34" s="18">
        <f>F34*0.3+(G34+H34+I34)*0.15+(J34+K34+L34+M34)*0.25+(N34+O34+P34+Q34)*0.3</f>
        <v>34.8075</v>
      </c>
      <c r="T34" s="18">
        <v>30</v>
      </c>
    </row>
    <row r="35" ht="30" customHeight="1" spans="1:20">
      <c r="A35" s="1">
        <v>31</v>
      </c>
      <c r="B35" s="1" t="s">
        <v>27</v>
      </c>
      <c r="C35" s="21" t="s">
        <v>73</v>
      </c>
      <c r="D35" s="1" t="s">
        <v>29</v>
      </c>
      <c r="E35" s="19" t="s">
        <v>74</v>
      </c>
      <c r="F35" s="1">
        <v>79.1875</v>
      </c>
      <c r="G35" s="1">
        <v>60</v>
      </c>
      <c r="H35" s="18">
        <v>0</v>
      </c>
      <c r="I35" s="1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6.25</v>
      </c>
      <c r="R35" s="18"/>
      <c r="S35" s="18">
        <f>F35*0.3+(G35+H35+I35)*0.15+(J35+K35+L35+M35)*0.25+(N35+O35+P35+Q35)*0.3</f>
        <v>34.63125</v>
      </c>
      <c r="T35" s="18">
        <v>31</v>
      </c>
    </row>
    <row r="36" ht="30" customHeight="1" spans="1:20">
      <c r="A36" s="1">
        <v>32</v>
      </c>
      <c r="B36" s="1" t="s">
        <v>27</v>
      </c>
      <c r="C36" s="19" t="s">
        <v>75</v>
      </c>
      <c r="D36" s="1" t="s">
        <v>29</v>
      </c>
      <c r="E36" s="19" t="s">
        <v>76</v>
      </c>
      <c r="F36" s="1">
        <v>84.34</v>
      </c>
      <c r="G36" s="1">
        <v>60</v>
      </c>
      <c r="H36" s="18">
        <v>0</v>
      </c>
      <c r="I36" s="1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0.8</v>
      </c>
      <c r="R36" s="18"/>
      <c r="S36" s="18">
        <f>F36*0.3+(G36+H36+I36)*0.15+(J36+K36+L36+M36)*0.25+(N36+O36+P36+Q36)*0.3</f>
        <v>34.542</v>
      </c>
      <c r="T36" s="18">
        <v>32</v>
      </c>
    </row>
    <row r="37" ht="30" customHeight="1" spans="1:20">
      <c r="A37" s="1">
        <v>33</v>
      </c>
      <c r="B37" s="1" t="s">
        <v>27</v>
      </c>
      <c r="C37" s="21" t="s">
        <v>77</v>
      </c>
      <c r="D37" s="1" t="s">
        <v>29</v>
      </c>
      <c r="E37" s="19" t="s">
        <v>78</v>
      </c>
      <c r="F37" s="1">
        <v>85.0125</v>
      </c>
      <c r="G37" s="1">
        <v>60</v>
      </c>
      <c r="H37" s="18">
        <v>0</v>
      </c>
      <c r="I37" s="1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/>
      <c r="S37" s="18">
        <f>F37*0.3+(G37+H37+I37)*0.15+(J37+K37+L37+M37)*0.25+(N37+O37+P37+Q37)*0.3</f>
        <v>34.50375</v>
      </c>
      <c r="T37" s="18">
        <v>33</v>
      </c>
    </row>
    <row r="38" ht="30" customHeight="1" spans="1:20">
      <c r="A38" s="1">
        <v>34</v>
      </c>
      <c r="B38" s="1" t="s">
        <v>27</v>
      </c>
      <c r="C38" s="19" t="s">
        <v>79</v>
      </c>
      <c r="D38" s="1" t="s">
        <v>29</v>
      </c>
      <c r="E38" s="19" t="s">
        <v>80</v>
      </c>
      <c r="F38" s="1">
        <v>84.2732</v>
      </c>
      <c r="G38" s="1">
        <v>60</v>
      </c>
      <c r="H38" s="18">
        <v>0</v>
      </c>
      <c r="I38" s="1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/>
      <c r="S38" s="18">
        <f>F38*0.3+(G38+H38+I38)*0.15+(J38+K38+L38+M38)*0.25+(N38+O38+P38+Q38)*0.3</f>
        <v>34.28196</v>
      </c>
      <c r="T38" s="18">
        <v>34</v>
      </c>
    </row>
    <row r="39" ht="30" customHeight="1" spans="1:20">
      <c r="A39" s="1">
        <v>35</v>
      </c>
      <c r="B39" s="1" t="s">
        <v>27</v>
      </c>
      <c r="C39" s="19" t="s">
        <v>81</v>
      </c>
      <c r="D39" s="1" t="s">
        <v>29</v>
      </c>
      <c r="E39" s="19" t="s">
        <v>82</v>
      </c>
      <c r="F39" s="1">
        <v>84.2625</v>
      </c>
      <c r="G39" s="1">
        <v>60</v>
      </c>
      <c r="H39" s="18">
        <v>0</v>
      </c>
      <c r="I39" s="1">
        <v>0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8"/>
      <c r="S39" s="18">
        <f>F39*0.3+(G39+H39+I39)*0.15+(J39+K39+L39+M39)*0.25+(N39+O39+P39+Q39)*0.3</f>
        <v>34.27875</v>
      </c>
      <c r="T39" s="18">
        <v>35</v>
      </c>
    </row>
    <row r="40" ht="30" customHeight="1" spans="1:20">
      <c r="A40" s="1">
        <v>36</v>
      </c>
      <c r="B40" s="1" t="s">
        <v>27</v>
      </c>
      <c r="C40" s="19" t="s">
        <v>83</v>
      </c>
      <c r="D40" s="1" t="s">
        <v>29</v>
      </c>
      <c r="E40" s="19" t="s">
        <v>84</v>
      </c>
      <c r="F40" s="1">
        <v>83.65</v>
      </c>
      <c r="G40" s="1">
        <v>60</v>
      </c>
      <c r="H40" s="18">
        <v>0</v>
      </c>
      <c r="I40" s="1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/>
      <c r="S40" s="18">
        <f>F40*0.3+(G40+H40+I40)*0.15+(J40+K40+L40+M40)*0.25+(N40+O40+P40+Q40)*0.3</f>
        <v>34.095</v>
      </c>
      <c r="T40" s="18">
        <v>36</v>
      </c>
    </row>
    <row r="41" ht="30" customHeight="1" spans="1:20">
      <c r="A41" s="1">
        <v>37</v>
      </c>
      <c r="B41" s="1" t="s">
        <v>27</v>
      </c>
      <c r="C41" s="20" t="s">
        <v>85</v>
      </c>
      <c r="D41" s="1" t="s">
        <v>29</v>
      </c>
      <c r="E41" s="17">
        <v>24085404020</v>
      </c>
      <c r="F41" s="1">
        <v>83.1</v>
      </c>
      <c r="G41" s="1">
        <v>60</v>
      </c>
      <c r="H41" s="18">
        <v>0</v>
      </c>
      <c r="I41" s="1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0.25</v>
      </c>
      <c r="R41" s="18"/>
      <c r="S41" s="18">
        <f>F41*0.3+(G41+H41+I41)*0.15+(J41+K41+L41+M41)*0.25+(N41+O41+P41+Q41)*0.3</f>
        <v>34.005</v>
      </c>
      <c r="T41" s="18">
        <v>37</v>
      </c>
    </row>
    <row r="42" ht="30" customHeight="1" spans="1:20">
      <c r="A42" s="1">
        <v>38</v>
      </c>
      <c r="B42" s="1" t="s">
        <v>27</v>
      </c>
      <c r="C42" s="19" t="s">
        <v>86</v>
      </c>
      <c r="D42" s="1" t="s">
        <v>29</v>
      </c>
      <c r="E42" s="19" t="s">
        <v>87</v>
      </c>
      <c r="F42" s="1">
        <v>83.2875</v>
      </c>
      <c r="G42" s="1">
        <v>60</v>
      </c>
      <c r="H42" s="18">
        <v>0</v>
      </c>
      <c r="I42" s="1">
        <v>0</v>
      </c>
      <c r="J42" s="18">
        <v>0</v>
      </c>
      <c r="K42" s="18">
        <v>0</v>
      </c>
      <c r="L42" s="18">
        <v>0</v>
      </c>
      <c r="M42" s="18">
        <v>0</v>
      </c>
      <c r="N42" s="18">
        <v>0</v>
      </c>
      <c r="O42" s="18">
        <v>0</v>
      </c>
      <c r="P42" s="18">
        <v>0</v>
      </c>
      <c r="Q42" s="18">
        <v>0</v>
      </c>
      <c r="R42" s="18"/>
      <c r="S42" s="18">
        <f>F42*0.3+(G42+H42+I42)*0.15+(J42+K42+L42+M42)*0.25+(N42+O42+P42+Q42)*0.3</f>
        <v>33.98625</v>
      </c>
      <c r="T42" s="18">
        <v>38</v>
      </c>
    </row>
    <row r="43" ht="30" customHeight="1" spans="1:20">
      <c r="A43" s="1">
        <v>39</v>
      </c>
      <c r="B43" s="1" t="s">
        <v>27</v>
      </c>
      <c r="C43" s="19" t="s">
        <v>88</v>
      </c>
      <c r="D43" s="1" t="s">
        <v>29</v>
      </c>
      <c r="E43" s="19" t="s">
        <v>89</v>
      </c>
      <c r="F43" s="1">
        <v>82.75</v>
      </c>
      <c r="G43" s="1">
        <v>60</v>
      </c>
      <c r="H43" s="18">
        <v>0</v>
      </c>
      <c r="I43" s="1">
        <v>0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0</v>
      </c>
      <c r="P43" s="18">
        <v>0</v>
      </c>
      <c r="Q43" s="18">
        <v>0.25</v>
      </c>
      <c r="R43" s="18"/>
      <c r="S43" s="18">
        <f>F43*0.3+(G43+H43+I43)*0.15+(J43+K43+L43+M43)*0.25+(N43+O43+P43+Q43)*0.3</f>
        <v>33.9</v>
      </c>
      <c r="T43" s="18">
        <v>39</v>
      </c>
    </row>
    <row r="44" ht="30" customHeight="1" spans="1:20">
      <c r="A44" s="1">
        <v>40</v>
      </c>
      <c r="B44" s="1" t="s">
        <v>27</v>
      </c>
      <c r="C44" s="19" t="s">
        <v>90</v>
      </c>
      <c r="D44" s="1" t="s">
        <v>29</v>
      </c>
      <c r="E44" s="19" t="s">
        <v>91</v>
      </c>
      <c r="F44" s="1">
        <v>82.275</v>
      </c>
      <c r="G44" s="1">
        <v>60</v>
      </c>
      <c r="H44" s="18">
        <v>0</v>
      </c>
      <c r="I44" s="1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/>
      <c r="S44" s="18">
        <f>F44*0.3+(G44+H44+I44)*0.15+(J44+K44+L44+M44)*0.25+(N44+O44+P44+Q44)*0.3</f>
        <v>33.6825</v>
      </c>
      <c r="T44" s="18">
        <v>40</v>
      </c>
    </row>
    <row r="45" ht="30" customHeight="1" spans="1:20">
      <c r="A45" s="1">
        <v>41</v>
      </c>
      <c r="B45" s="1" t="s">
        <v>27</v>
      </c>
      <c r="C45" s="21" t="s">
        <v>92</v>
      </c>
      <c r="D45" s="1" t="s">
        <v>29</v>
      </c>
      <c r="E45" s="19" t="s">
        <v>93</v>
      </c>
      <c r="F45" s="1">
        <v>81.0732</v>
      </c>
      <c r="G45" s="1">
        <v>60</v>
      </c>
      <c r="H45" s="18">
        <v>0</v>
      </c>
      <c r="I45" s="1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0.25</v>
      </c>
      <c r="R45" s="18"/>
      <c r="S45" s="18">
        <f>F45*0.3+(G45+H45+I45)*0.15+(J45+K45+L45+M45)*0.25+(N45+O45+P45+Q45)*0.3</f>
        <v>33.39696</v>
      </c>
      <c r="T45" s="18">
        <v>41</v>
      </c>
    </row>
    <row r="46" ht="30" customHeight="1" spans="1:20">
      <c r="A46" s="1">
        <v>42</v>
      </c>
      <c r="B46" s="1" t="s">
        <v>27</v>
      </c>
      <c r="C46" s="17" t="s">
        <v>94</v>
      </c>
      <c r="D46" s="1" t="s">
        <v>29</v>
      </c>
      <c r="E46" s="17">
        <v>24085404009</v>
      </c>
      <c r="F46" s="1">
        <v>80.7</v>
      </c>
      <c r="G46" s="1">
        <v>60</v>
      </c>
      <c r="H46" s="18">
        <v>0</v>
      </c>
      <c r="I46" s="1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0.25</v>
      </c>
      <c r="R46" s="18"/>
      <c r="S46" s="18">
        <f>F46*0.3+(G46+H46+I46)*0.15+(J46+K46+L46+M46)*0.25+(N46+O46+P46+Q46)*0.3</f>
        <v>33.285</v>
      </c>
      <c r="T46" s="18">
        <v>42</v>
      </c>
    </row>
    <row r="47" ht="30" customHeight="1" spans="1:20">
      <c r="A47" s="1">
        <v>43</v>
      </c>
      <c r="B47" s="1" t="s">
        <v>27</v>
      </c>
      <c r="C47" s="19" t="s">
        <v>95</v>
      </c>
      <c r="D47" s="1" t="s">
        <v>29</v>
      </c>
      <c r="E47" s="19" t="s">
        <v>96</v>
      </c>
      <c r="F47" s="1">
        <v>78.7875</v>
      </c>
      <c r="G47" s="1">
        <v>60</v>
      </c>
      <c r="H47" s="18">
        <v>0</v>
      </c>
      <c r="I47" s="1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/>
      <c r="S47" s="18">
        <f>F47*0.3+(G47+H47+I47)*0.15+(J47+K47+L47+M47)*0.25+(N47+O47+P47+Q47)*0.3</f>
        <v>32.63625</v>
      </c>
      <c r="T47" s="18">
        <v>43</v>
      </c>
    </row>
    <row r="48" ht="30" customHeight="1" spans="1:20">
      <c r="A48" s="1">
        <v>44</v>
      </c>
      <c r="B48" s="2" t="s">
        <v>27</v>
      </c>
      <c r="C48" s="22" t="s">
        <v>97</v>
      </c>
      <c r="D48" s="2" t="s">
        <v>29</v>
      </c>
      <c r="E48" s="22" t="s">
        <v>98</v>
      </c>
      <c r="F48" s="2">
        <v>83.575</v>
      </c>
      <c r="G48" s="2">
        <v>60</v>
      </c>
      <c r="H48" s="18">
        <v>0</v>
      </c>
      <c r="I48" s="1">
        <v>0</v>
      </c>
      <c r="J48" s="18">
        <v>0</v>
      </c>
      <c r="K48" s="18">
        <v>7.5</v>
      </c>
      <c r="L48" s="18">
        <v>0</v>
      </c>
      <c r="M48" s="18">
        <v>0</v>
      </c>
      <c r="N48" s="18">
        <v>0</v>
      </c>
      <c r="O48" s="18">
        <v>0</v>
      </c>
      <c r="P48" s="26">
        <v>0</v>
      </c>
      <c r="Q48" s="26">
        <v>1.1</v>
      </c>
      <c r="R48" s="26"/>
      <c r="S48" s="18">
        <f>F48*0.3+(G48+H48+I48)*0.15+(J48+K48+L48+M48)*0.25+(N48+O48+P48+Q48)*0.3</f>
        <v>36.2775</v>
      </c>
      <c r="T48" s="18" t="s">
        <v>99</v>
      </c>
    </row>
    <row r="49" ht="30" customHeight="1" spans="1:20">
      <c r="A49" s="1">
        <v>45</v>
      </c>
      <c r="B49" s="2" t="s">
        <v>27</v>
      </c>
      <c r="C49" s="22" t="s">
        <v>100</v>
      </c>
      <c r="D49" s="2" t="s">
        <v>29</v>
      </c>
      <c r="E49" s="22" t="s">
        <v>101</v>
      </c>
      <c r="F49" s="2">
        <v>79.625</v>
      </c>
      <c r="G49" s="2">
        <v>60</v>
      </c>
      <c r="H49" s="18">
        <v>0</v>
      </c>
      <c r="I49" s="1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26"/>
      <c r="S49" s="18">
        <f>F49*0.3+(G49+H49+I49)*0.15+(J49+K49+L49+M49)*0.25+(N49+O49+P49+Q49)*0.3</f>
        <v>32.8875</v>
      </c>
      <c r="T49" s="18" t="s">
        <v>99</v>
      </c>
    </row>
    <row r="50" ht="30" customHeight="1" spans="1:20">
      <c r="A50" s="1">
        <v>46</v>
      </c>
      <c r="B50" s="1" t="s">
        <v>27</v>
      </c>
      <c r="C50" s="17" t="s">
        <v>102</v>
      </c>
      <c r="D50" s="1" t="s">
        <v>29</v>
      </c>
      <c r="E50" s="23">
        <v>24085404007</v>
      </c>
      <c r="F50" s="1">
        <v>77.4875</v>
      </c>
      <c r="G50" s="1">
        <v>60</v>
      </c>
      <c r="H50" s="18">
        <v>0</v>
      </c>
      <c r="I50" s="1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/>
      <c r="S50" s="18">
        <f>F50*0.3+(G50+H50+I50)*0.15+(J50+K50+L50+M50)*0.25+(N50+O50+P50+Q50)*0.3</f>
        <v>32.24625</v>
      </c>
      <c r="T50" s="18" t="s">
        <v>103</v>
      </c>
    </row>
    <row r="51" ht="30" customHeight="1" spans="1:20">
      <c r="A51" s="18"/>
      <c r="B51" s="18"/>
      <c r="C51" s="18"/>
      <c r="D51" s="18"/>
      <c r="E51" s="18"/>
      <c r="F51" s="18"/>
      <c r="G51" s="1"/>
      <c r="H51" s="18"/>
      <c r="I51" s="18"/>
      <c r="J51" s="18"/>
      <c r="K51" s="18"/>
      <c r="L51" s="18"/>
      <c r="M51" s="18">
        <v>9</v>
      </c>
      <c r="N51" s="18"/>
      <c r="O51" s="18"/>
      <c r="P51" s="18"/>
      <c r="Q51" s="18"/>
      <c r="R51" s="18"/>
      <c r="S51" s="18"/>
      <c r="T51" s="18"/>
    </row>
    <row r="52" ht="30" customHeight="1" spans="1:20">
      <c r="A52" s="18"/>
      <c r="B52" s="18"/>
      <c r="C52" s="18"/>
      <c r="D52" s="18"/>
      <c r="E52" s="18"/>
      <c r="F52" s="18"/>
      <c r="G52" s="1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</row>
    <row r="53" ht="24" customHeight="1" spans="2:4">
      <c r="B53" s="6" t="s">
        <v>104</v>
      </c>
      <c r="C53" s="6"/>
      <c r="D53" s="6" t="s">
        <v>105</v>
      </c>
    </row>
  </sheetData>
  <sortState ref="A5:T49">
    <sortCondition ref="S5:S49" descending="1"/>
  </sortState>
  <mergeCells count="13">
    <mergeCell ref="A1:T1"/>
    <mergeCell ref="G3:I3"/>
    <mergeCell ref="J3:M3"/>
    <mergeCell ref="N3:Q3"/>
    <mergeCell ref="A3:A4"/>
    <mergeCell ref="B3:B4"/>
    <mergeCell ref="C3:C4"/>
    <mergeCell ref="D3:D4"/>
    <mergeCell ref="E3:E4"/>
    <mergeCell ref="F3:F4"/>
    <mergeCell ref="R3:R4"/>
    <mergeCell ref="S3:S4"/>
    <mergeCell ref="T3:T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6"/>
  <sheetViews>
    <sheetView workbookViewId="0">
      <selection activeCell="A1" sqref="A1:A46"/>
    </sheetView>
  </sheetViews>
  <sheetFormatPr defaultColWidth="9" defaultRowHeight="14"/>
  <sheetData>
    <row r="1" spans="1:1">
      <c r="A1" s="1">
        <v>84.2625</v>
      </c>
    </row>
    <row r="2" spans="1:1">
      <c r="A2" s="2">
        <v>83.575</v>
      </c>
    </row>
    <row r="3" spans="1:1">
      <c r="A3" s="1">
        <v>88.3625</v>
      </c>
    </row>
    <row r="4" spans="1:1">
      <c r="A4" s="1">
        <v>82.275</v>
      </c>
    </row>
    <row r="5" spans="1:1">
      <c r="A5" s="1">
        <v>81.0732</v>
      </c>
    </row>
    <row r="6" spans="1:1">
      <c r="A6" s="1">
        <v>81.85</v>
      </c>
    </row>
    <row r="7" spans="1:1">
      <c r="A7" s="1">
        <v>77.4875</v>
      </c>
    </row>
    <row r="8" spans="1:1">
      <c r="A8" s="1">
        <v>81.629</v>
      </c>
    </row>
    <row r="9" spans="1:1">
      <c r="A9" s="1">
        <v>80.7</v>
      </c>
    </row>
    <row r="10" spans="1:1">
      <c r="A10" s="1">
        <v>85.1625</v>
      </c>
    </row>
    <row r="11" spans="1:1">
      <c r="A11" s="1">
        <v>88.129</v>
      </c>
    </row>
    <row r="12" spans="1:1">
      <c r="A12" s="1">
        <v>87.0625</v>
      </c>
    </row>
    <row r="13" spans="1:1">
      <c r="A13" s="1">
        <v>84.9625</v>
      </c>
    </row>
    <row r="14" spans="1:1">
      <c r="A14" s="1">
        <v>85.6625</v>
      </c>
    </row>
    <row r="15" spans="1:1">
      <c r="A15" s="1">
        <v>86.439</v>
      </c>
    </row>
    <row r="16" spans="1:1">
      <c r="A16" s="3">
        <v>92.2875</v>
      </c>
    </row>
    <row r="17" spans="1:1">
      <c r="A17" s="3">
        <v>90.4375</v>
      </c>
    </row>
    <row r="18" spans="1:1">
      <c r="A18" s="3">
        <v>85.5125</v>
      </c>
    </row>
    <row r="19" spans="1:1">
      <c r="A19" s="3">
        <v>81.75</v>
      </c>
    </row>
    <row r="20" spans="1:1">
      <c r="A20" s="3">
        <v>83.1</v>
      </c>
    </row>
    <row r="21" spans="1:1">
      <c r="A21" s="3">
        <v>87.1178</v>
      </c>
    </row>
    <row r="22" spans="1:1">
      <c r="A22" s="3">
        <v>89.9625</v>
      </c>
    </row>
    <row r="23" spans="1:1">
      <c r="A23" s="3">
        <v>88.675</v>
      </c>
    </row>
    <row r="24" spans="1:1">
      <c r="A24" s="3">
        <v>86.675</v>
      </c>
    </row>
    <row r="25" spans="1:1">
      <c r="A25" s="3">
        <v>90.025</v>
      </c>
    </row>
    <row r="26" spans="1:1">
      <c r="A26" s="3">
        <v>78.7875</v>
      </c>
    </row>
    <row r="27" spans="1:1">
      <c r="A27" s="3">
        <v>85.875</v>
      </c>
    </row>
    <row r="28" spans="1:1">
      <c r="A28" s="3">
        <v>89.1125</v>
      </c>
    </row>
    <row r="29" spans="1:1">
      <c r="A29" s="4">
        <v>79.625</v>
      </c>
    </row>
    <row r="30" spans="1:1">
      <c r="A30" s="3">
        <v>84.34</v>
      </c>
    </row>
    <row r="31" spans="1:1">
      <c r="A31" s="1">
        <v>83.65</v>
      </c>
    </row>
    <row r="32" spans="1:1">
      <c r="A32" s="1">
        <v>86.6875</v>
      </c>
    </row>
    <row r="33" spans="1:1">
      <c r="A33" s="1">
        <v>86.025</v>
      </c>
    </row>
    <row r="34" spans="1:1">
      <c r="A34" s="1">
        <v>81.5375</v>
      </c>
    </row>
    <row r="35" spans="1:1">
      <c r="A35" s="1">
        <v>84.2732</v>
      </c>
    </row>
    <row r="36" spans="1:1">
      <c r="A36" s="1">
        <v>88.7625</v>
      </c>
    </row>
    <row r="37" spans="1:1">
      <c r="A37" s="1">
        <v>83.2875</v>
      </c>
    </row>
    <row r="38" spans="1:1">
      <c r="A38" s="1">
        <v>89.7875</v>
      </c>
    </row>
    <row r="39" spans="1:1">
      <c r="A39" s="1">
        <v>85.0125</v>
      </c>
    </row>
    <row r="40" spans="1:1">
      <c r="A40" s="1">
        <v>81.3375</v>
      </c>
    </row>
    <row r="41" spans="1:1">
      <c r="A41" s="1">
        <v>79.1875</v>
      </c>
    </row>
    <row r="42" spans="1:1">
      <c r="A42" s="1">
        <v>79.8</v>
      </c>
    </row>
    <row r="43" spans="1:1">
      <c r="A43" s="1">
        <v>82.75</v>
      </c>
    </row>
    <row r="44" spans="1:1">
      <c r="A44" s="1">
        <v>84.075</v>
      </c>
    </row>
    <row r="45" spans="1:1">
      <c r="A45" s="1">
        <v>84.1375</v>
      </c>
    </row>
    <row r="46" spans="1:1">
      <c r="A46" s="1">
        <v>86.15416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综合成绩排名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血羽。</cp:lastModifiedBy>
  <dcterms:created xsi:type="dcterms:W3CDTF">2022-11-01T04:54:00Z</dcterms:created>
  <dcterms:modified xsi:type="dcterms:W3CDTF">2025-09-15T11:57:18Z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94D4D28D304A430BB64CCD0800D78CAA_13</vt:lpwstr>
  </property>
  <property fmtid="{D5CDD505-2E9C-101B-9397-08002B2CF9AE}" pid="3" name="KSOProductBuildVer">
    <vt:lpwstr>2052-12.1.0.22529</vt:lpwstr>
  </property>
</Properties>
</file>